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Job List" sheetId="1" state="visible" r:id="rId3"/>
    <sheet name="ℹ️ How to Use" sheetId="2" state="visible" r:id="rId4"/>
    <sheet name="📋 Bernie" sheetId="3" state="visible" r:id="rId5"/>
    <sheet name="📋 Shaq" sheetId="4" state="visible" r:id="rId6"/>
    <sheet name="📋 Maya" sheetId="5" state="visible" r:id="rId7"/>
  </sheets>
  <definedNames>
    <definedName function="false" hidden="true" localSheetId="2" name="_xlnm._FilterDatabase" vbProcedure="false">'📋 Bernie'!$A$15:$H$500</definedName>
    <definedName function="false" hidden="true" localSheetId="0" name="_xlnm._FilterDatabase" vbProcedure="false">'📋 Job List'!$A$4:$I$200</definedName>
    <definedName function="false" hidden="true" localSheetId="4" name="_xlnm._FilterDatabase" vbProcedure="false">'📋 Maya'!$A$15:$H$500</definedName>
    <definedName function="false" hidden="true" localSheetId="3" name="_xlnm._FilterDatabase" vbProcedure="false">'📋 Shaq'!$A$15:$H$500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<sst xmlns="http://schemas.openxmlformats.org/spreadsheetml/2006/main" count="256" uniqueCount="166">
  <si>
    <t xml:space="preserve">AGERO  |  Job List</t>
  </si>
  <si>
    <t xml:space="preserve">Updated by Bernie every Monday morning before the 9:15 huddle.  All team members: read only.</t>
  </si>
  <si>
    <t xml:space="preserve">Job Name</t>
  </si>
  <si>
    <t xml:space="preserve">Classification</t>
  </si>
  <si>
    <t xml:space="preserve">Owner</t>
  </si>
  <si>
    <t xml:space="preserve">Stage</t>
  </si>
  <si>
    <t xml:space="preserve">Status</t>
  </si>
  <si>
    <t xml:space="preserve">Key Date</t>
  </si>
  <si>
    <t xml:space="preserve">Client</t>
  </si>
  <si>
    <t xml:space="preserve">Value ($)</t>
  </si>
  <si>
    <t xml:space="preserve">Notes</t>
  </si>
  <si>
    <t xml:space="preserve">Project Alpha</t>
  </si>
  <si>
    <t xml:space="preserve">Active Delivery</t>
  </si>
  <si>
    <t xml:space="preserve">Bernie</t>
  </si>
  <si>
    <t xml:space="preserve">On Site</t>
  </si>
  <si>
    <t xml:space="preserve">Green</t>
  </si>
  <si>
    <t xml:space="preserve">30 Jun 2026</t>
  </si>
  <si>
    <t xml:space="preserve">Client A</t>
  </si>
  <si>
    <t xml:space="preserve">$850,000</t>
  </si>
  <si>
    <t xml:space="preserve">Project Beta</t>
  </si>
  <si>
    <t xml:space="preserve">Shaq</t>
  </si>
  <si>
    <t xml:space="preserve">Amber</t>
  </si>
  <si>
    <t xml:space="preserve">15 Aug 2026</t>
  </si>
  <si>
    <t xml:space="preserve">Client B</t>
  </si>
  <si>
    <t xml:space="preserve">$420,000</t>
  </si>
  <si>
    <t xml:space="preserve">Programme risk: structural drawings</t>
  </si>
  <si>
    <t xml:space="preserve">Project Gamma</t>
  </si>
  <si>
    <t xml:space="preserve">Pre-Construction</t>
  </si>
  <si>
    <t xml:space="preserve">Design Dev</t>
  </si>
  <si>
    <t xml:space="preserve">1 Sep 2026</t>
  </si>
  <si>
    <t xml:space="preserve">Client C</t>
  </si>
  <si>
    <t xml:space="preserve">$600,000</t>
  </si>
  <si>
    <t xml:space="preserve">Project Delta</t>
  </si>
  <si>
    <t xml:space="preserve">Tender</t>
  </si>
  <si>
    <t xml:space="preserve">20 Jul 2026</t>
  </si>
  <si>
    <t xml:space="preserve">Client D</t>
  </si>
  <si>
    <t xml:space="preserve">$1,200,000</t>
  </si>
  <si>
    <t xml:space="preserve">Subcontractor pricing due</t>
  </si>
  <si>
    <t xml:space="preserve">Prospect: Omega Tower</t>
  </si>
  <si>
    <t xml:space="preserve">Prospect: Tier 1</t>
  </si>
  <si>
    <t xml:space="preserve">Submission Prep</t>
  </si>
  <si>
    <t xml:space="preserve">10 Jul 2026</t>
  </si>
  <si>
    <t xml:space="preserve">Prospect E</t>
  </si>
  <si>
    <t xml:space="preserve">$2,500,000</t>
  </si>
  <si>
    <t xml:space="preserve">Complex fitout; Maya leading design</t>
  </si>
  <si>
    <t xml:space="preserve">Prospect: Suite 12</t>
  </si>
  <si>
    <t xml:space="preserve">Prospect: Tier 2</t>
  </si>
  <si>
    <t xml:space="preserve">EOI Prep</t>
  </si>
  <si>
    <t xml:space="preserve">5 Jul 2026</t>
  </si>
  <si>
    <t xml:space="preserve">Prospect F</t>
  </si>
  <si>
    <t xml:space="preserve">$180,000</t>
  </si>
  <si>
    <t xml:space="preserve">Standard fitout</t>
  </si>
  <si>
    <t xml:space="preserve">Prospect: Level 8</t>
  </si>
  <si>
    <t xml:space="preserve">Maya</t>
  </si>
  <si>
    <t xml:space="preserve">Concept Design</t>
  </si>
  <si>
    <t xml:space="preserve">12 Jul 2026</t>
  </si>
  <si>
    <t xml:space="preserve">Prospect G</t>
  </si>
  <si>
    <t xml:space="preserve">$250,000</t>
  </si>
  <si>
    <t xml:space="preserve">Project Epsilon</t>
  </si>
  <si>
    <t xml:space="preserve">On Hold</t>
  </si>
  <si>
    <t xml:space="preserve">Client Hold</t>
  </si>
  <si>
    <t xml:space="preserve">TBC</t>
  </si>
  <si>
    <t xml:space="preserve">Client H</t>
  </si>
  <si>
    <t xml:space="preserve">$700,000</t>
  </si>
  <si>
    <t xml:space="preserve">Client paused pending board approval</t>
  </si>
  <si>
    <t xml:space="preserve">AGERO  |  Huddle Framework  |  How to Use</t>
  </si>
  <si>
    <t xml:space="preserve">WHO DOES WHAT</t>
  </si>
  <si>
    <t xml:space="preserve">Job List</t>
  </si>
  <si>
    <t xml:space="preserve">Bernie updates every Monday morning before the huddle. Add new jobs, update status (Green/Amber/Red), and set ownership. All team members read from this tab.</t>
  </si>
  <si>
    <t xml:space="preserve">Daily Prep tabs</t>
  </si>
  <si>
    <t xml:space="preserve">Each person (Bernie, Shaq, Maya) fills in their own tab before 9:00 am every day. One row per job they own or contribute to. The three questions: what needs to move, what is blocking me, what do I need from the team.</t>
  </si>
  <si>
    <t xml:space="preserve">Weekly Brief tabs</t>
  </si>
  <si>
    <t xml:space="preserve">Each person completes their weekly tab on Monday morning before the huddle. One row per active job or live prospect. Bernie reviews all three before the Monday 9:15.</t>
  </si>
  <si>
    <t xml:space="preserve">THE HUDDLE</t>
  </si>
  <si>
    <t xml:space="preserve">Format</t>
  </si>
  <si>
    <t xml:space="preserve">15 minutes. Standing. Bernie goes first (Director context + his jobs). Then Shaq (his jobs). Then Maya (her design workstream). Bernie closes with confirmations and any priority adjustments.</t>
  </si>
  <si>
    <t xml:space="preserve">Standard for updates</t>
  </si>
  <si>
    <t xml:space="preserve">Name the job. State what is moving. State what is blocked. State what you need. If you have nothing to say beyond 'all good', you have not prepared.</t>
  </si>
  <si>
    <t xml:space="preserve">Bernie's role</t>
  </si>
  <si>
    <t xml:space="preserve">Confirm clear plans. Redirect unclear ones. Respond to legitimate escalation (owner has a recommendation). Push back dependency questions: 'What do you recommend?'</t>
  </si>
  <si>
    <t xml:space="preserve">CLASSIFICATIONS</t>
  </si>
  <si>
    <t xml:space="preserve">Project under contract and in delivery. Full daily attention from the job owner.</t>
  </si>
  <si>
    <t xml:space="preserve">Awarded but not on site, or in tender/design development. Progressed to programme.</t>
  </si>
  <si>
    <t xml:space="preserve">Large or complex. Bespoke submission. Bernie classifies. Treated with near-project discipline.</t>
  </si>
  <si>
    <t xml:space="preserve">Standard. Fits within established approach. Efficient processing.</t>
  </si>
  <si>
    <t xml:space="preserve">Paused by client or external circumstance. Not discussed daily unless status changes.</t>
  </si>
  <si>
    <t xml:space="preserve">STATUS (RAG)</t>
  </si>
  <si>
    <t xml:space="preserve">On programme and budget. No material risks.</t>
  </si>
  <si>
    <t xml:space="preserve">At risk. Issue identified but manageable. Owner has a plan.</t>
  </si>
  <si>
    <t xml:space="preserve">Red</t>
  </si>
  <si>
    <t xml:space="preserve">Blocked or off programme. Bernie's attention required today.</t>
  </si>
  <si>
    <t xml:space="preserve">GOOGLE SHEETS NOTE</t>
  </si>
  <si>
    <t xml:space="preserve">Uploading</t>
  </si>
  <si>
    <t xml:space="preserve">Upload this file to Google Drive and open with Google Sheets. All formatting, dropdowns, and filters will transfer.</t>
  </si>
  <si>
    <t xml:space="preserve">Sharing</t>
  </si>
  <si>
    <t xml:space="preserve">Share with Shaq and Maya as Editors. They can fill in their own tabs. The Job List tab should be treated as Bernie's domain — communicate this directly rather than relying on sheet protection.</t>
  </si>
  <si>
    <t xml:space="preserve">AGERO  |  Bernie  |  Weekly Brief &amp; Daily Prep</t>
  </si>
  <si>
    <t xml:space="preserve">Set your weekly direction above, then log daily execution below.  Both sections updated in this one tab.</t>
  </si>
  <si>
    <t xml:space="preserve">WEEKLY MISSION BRIEF  —  Complete every Monday morning before the 9:15 huddle</t>
  </si>
  <si>
    <t xml:space="preserve">Job / Prospect</t>
  </si>
  <si>
    <t xml:space="preserve">Week Of</t>
  </si>
  <si>
    <t xml:space="preserve">Success by Friday?</t>
  </si>
  <si>
    <t xml:space="preserve">Top 3 actions this week</t>
  </si>
  <si>
    <t xml:space="preserve">External contributors</t>
  </si>
  <si>
    <t xml:space="preserve">Decisions I own</t>
  </si>
  <si>
    <t xml:space="preserve">Where I need Bernie</t>
  </si>
  <si>
    <t xml:space="preserve">Structural package approved; programme on track</t>
  </si>
  <si>
    <t xml:space="preserve">1. Approve structural package
2. Client progress meeting
3. Review variation 004</t>
  </si>
  <si>
    <t xml:space="preserve">Engineer: drawings by Wed
Subcontractor: pricing by Fri</t>
  </si>
  <si>
    <t xml:space="preserve">Variations up to $15k
Daily site decisions</t>
  </si>
  <si>
    <t xml:space="preserve">Variations above $15k
Client relationship decisions</t>
  </si>
  <si>
    <t xml:space="preserve">Submission draft complete and reviewed</t>
  </si>
  <si>
    <t xml:space="preserve">1. Draft narrative sections 1–2
2. Review Maya's concept visuals
3. Internal review Thursday</t>
  </si>
  <si>
    <t xml:space="preserve">Maya: concept visuals by Tue
VA: format document by Thu</t>
  </si>
  <si>
    <t xml:space="preserve">Narrative content
Subcontractor selection</t>
  </si>
  <si>
    <t xml:space="preserve">Final submission sign-off
Client presentation</t>
  </si>
  <si>
    <t xml:space="preserve">DAILY PREP LOG  —  Complete before 9:00 am every day.  One row per job.</t>
  </si>
  <si>
    <t xml:space="preserve">Date</t>
  </si>
  <si>
    <t xml:space="preserve">What needs to move today?</t>
  </si>
  <si>
    <t xml:space="preserve">What is blocking me?</t>
  </si>
  <si>
    <t xml:space="preserve">What do I need from the team?</t>
  </si>
  <si>
    <t xml:space="preserve">Who from?</t>
  </si>
  <si>
    <t xml:space="preserve">Resolved?</t>
  </si>
  <si>
    <t xml:space="preserve">Review structural package with engineer</t>
  </si>
  <si>
    <t xml:space="preserve">Engineer has not sent revised drawings</t>
  </si>
  <si>
    <t xml:space="preserve">Confirm design intent on grid line C</t>
  </si>
  <si>
    <t xml:space="preserve">No</t>
  </si>
  <si>
    <t xml:space="preserve">Draft submission narrative sections 1 and 2</t>
  </si>
  <si>
    <t xml:space="preserve">Need Maya's concept visuals to complete</t>
  </si>
  <si>
    <t xml:space="preserve">Concept visuals needed by 11am</t>
  </si>
  <si>
    <t xml:space="preserve">Tier 1 — high priority</t>
  </si>
  <si>
    <t xml:space="preserve">AGERO  |  Shaq  |  Weekly Brief &amp; Daily Prep</t>
  </si>
  <si>
    <t xml:space="preserve">Concrete pour complete; next trade on programme</t>
  </si>
  <si>
    <t xml:space="preserve">1. Confirm pour sequence
2. Issue RFI on ceiling heights
3. Programme update to Bernie</t>
  </si>
  <si>
    <t xml:space="preserve">Foreman: confirm sequence Mon
Subcontractor: hydraulics by Wed</t>
  </si>
  <si>
    <t xml:space="preserve">Daily site coordination
RFI responses
Variations up to $5k</t>
  </si>
  <si>
    <t xml:space="preserve">Variations above $5k
Programme slippage beyond 5 days
Client comms</t>
  </si>
  <si>
    <t xml:space="preserve">EOI document submitted</t>
  </si>
  <si>
    <t xml:space="preserve">1. Complete EOI draft by Wed
2. Bernie review Thu
3. Submit Fri</t>
  </si>
  <si>
    <t xml:space="preserve">VA: format EOI by Thu</t>
  </si>
  <si>
    <t xml:space="preserve">EOI content and pricing
Subcontractor approach</t>
  </si>
  <si>
    <t xml:space="preserve">Bernie review before submission</t>
  </si>
  <si>
    <t xml:space="preserve">Confirm concrete pour sequence with foreman</t>
  </si>
  <si>
    <t xml:space="preserve">Structural drawings still at risk</t>
  </si>
  <si>
    <t xml:space="preserve">Call engineer if drawings not by noon</t>
  </si>
  <si>
    <t xml:space="preserve">Complete EOI document draft</t>
  </si>
  <si>
    <t xml:space="preserve">Review draft before submission</t>
  </si>
  <si>
    <t xml:space="preserve">Due Friday</t>
  </si>
  <si>
    <t xml:space="preserve">AGERO  |  Maya  |  Weekly Brief &amp; Daily Prep</t>
  </si>
  <si>
    <t xml:space="preserve">Design: Project Alpha</t>
  </si>
  <si>
    <t xml:space="preserve">Revised ceiling plan issued; RFIs complete</t>
  </si>
  <si>
    <t xml:space="preserve">1. Issue ceiling plan Tue
2. Resolve RFI 012 with engineer
3. Coordinate FF&amp;E schedule</t>
  </si>
  <si>
    <t xml:space="preserve">Engineer: coordination drawing by Wed
Architect: FF&amp;E confirmation by Thu</t>
  </si>
  <si>
    <t xml:space="preserve">Design coordination
Document issue
Consultant management</t>
  </si>
  <si>
    <t xml:space="preserve">Client finish preferences
Scope changes affecting cost</t>
  </si>
  <si>
    <t xml:space="preserve">Two concept options complete and approved by Bernie</t>
  </si>
  <si>
    <t xml:space="preserve">1. Concept option A — Mon
2. Concept option B — Tue
3. Bernie review Wed</t>
  </si>
  <si>
    <t xml:space="preserve">Architect: preliminary sketch by Mon</t>
  </si>
  <si>
    <t xml:space="preserve">Design direction within brief
Consultant briefing</t>
  </si>
  <si>
    <t xml:space="preserve">Brief confirmation (Bernie owns)
Client presentation (Bernie presents)</t>
  </si>
  <si>
    <t xml:space="preserve">Issue revised ceiling plan to Shaq</t>
  </si>
  <si>
    <t xml:space="preserve">Waiting on engineer coordination</t>
  </si>
  <si>
    <t xml:space="preserve">Confirm client preference on finish</t>
  </si>
  <si>
    <t xml:space="preserve">Complete concept visuals for submission</t>
  </si>
  <si>
    <t xml:space="preserve">Confirm brief scope by 9:30am</t>
  </si>
  <si>
    <t xml:space="preserve">Tier 1 — urgent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</si>
</sst>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5F5F5"/>
        <bgColor rgb="FFFFFFFF"/>
      </patternFill>
    </fill>
    <fill>
      <patternFill patternType="solid">
        <fgColor rgb="FF0F3460"/>
        <bgColor rgb="FF16213E"/>
      </patternFill>
    </fill>
    <fill>
      <patternFill patternType="solid">
        <fgColor rgb="FFFFFFFF"/>
        <bgColor rgb="FFF5F5F5"/>
      </patternFill>
    </fill>
    <fill>
      <patternFill patternType="solid">
        <fgColor rgb="FF16213E"/>
        <bgColor rgb="FF1A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F346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D6F0D6"/>
          <bgColor rgb="FF000000"/>
        </patternFill>
      </fill>
    </dxf>
    <dxf>
      <fill>
        <patternFill patternType="solid">
          <fgColor rgb="FFFFF3CC"/>
          <bgColor rgb="FF000000"/>
        </patternFill>
      </fill>
    </dxf>
    <dxf>
      <fill>
        <patternFill patternType="solid">
          <fgColor rgb="FF1E7E34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ont>
        <name val="Arial"/>
        <charset val="1"/>
        <family val="0"/>
        <b val="1"/>
        <color rgb="FF1E7E34"/>
        <sz val="10"/>
      </font>
      <fill>
        <patternFill>
          <bgColor rgb="FFD6F0D6"/>
        </patternFill>
      </fill>
    </dxf>
    <dxf>
      <font>
        <name val="Arial"/>
        <charset val="1"/>
        <family val="0"/>
        <b val="1"/>
        <color rgb="FF856404"/>
        <sz val="10"/>
      </font>
      <fill>
        <patternFill>
          <bgColor rgb="FFFFF3CC"/>
        </patternFill>
      </fill>
    </dxf>
    <dxf>
      <font>
        <name val="Arial"/>
        <charset val="1"/>
        <family val="0"/>
        <b val="1"/>
        <color rgb="FF721C24"/>
        <sz val="10"/>
      </font>
      <fill>
        <patternFill>
          <bgColor rgb="FFFDDC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E7E34"/>
      <rgbColor rgb="FF000080"/>
      <rgbColor rgb="FF856404"/>
      <rgbColor rgb="FF800080"/>
      <rgbColor rgb="FF008080"/>
      <rgbColor rgb="FFCCCCCC"/>
      <rgbColor rgb="FF888888"/>
      <rgbColor rgb="FF9999FF"/>
      <rgbColor rgb="FF993366"/>
      <rgbColor rgb="FFFFF3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F99"/>
      <rgbColor rgb="FF99CCFF"/>
      <rgbColor rgb="FFFF99CC"/>
      <rgbColor rgb="FFCC99FF"/>
      <rgbColor rgb="FFFDDC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1.7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/>
    </row>
    <row r="6" customFormat="false" ht="21.75" hidden="false" customHeight="true" outlineLevel="0" collapsed="false">
      <c r="A6" s="6" t="s">
        <v>19</v>
      </c>
      <c r="B6" s="6" t="s">
        <v>12</v>
      </c>
      <c r="C6" s="6" t="s">
        <v>20</v>
      </c>
      <c r="D6" s="6" t="s">
        <v>14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</row>
    <row r="7" customFormat="false" ht="21.75" hidden="false" customHeight="true" outlineLevel="0" collapsed="false">
      <c r="A7" s="5" t="s">
        <v>26</v>
      </c>
      <c r="B7" s="5" t="s">
        <v>27</v>
      </c>
      <c r="C7" s="5" t="s">
        <v>20</v>
      </c>
      <c r="D7" s="5" t="s">
        <v>28</v>
      </c>
      <c r="E7" s="5" t="s">
        <v>15</v>
      </c>
      <c r="F7" s="5" t="s">
        <v>29</v>
      </c>
      <c r="G7" s="5" t="s">
        <v>30</v>
      </c>
      <c r="H7" s="5" t="s">
        <v>31</v>
      </c>
      <c r="I7" s="5"/>
    </row>
    <row r="8" customFormat="false" ht="21.75" hidden="false" customHeight="true" outlineLevel="0" collapsed="false">
      <c r="A8" s="6" t="s">
        <v>32</v>
      </c>
      <c r="B8" s="6" t="s">
        <v>27</v>
      </c>
      <c r="C8" s="6" t="s">
        <v>13</v>
      </c>
      <c r="D8" s="6" t="s">
        <v>33</v>
      </c>
      <c r="E8" s="6" t="s">
        <v>15</v>
      </c>
      <c r="F8" s="6" t="s">
        <v>34</v>
      </c>
      <c r="G8" s="6" t="s">
        <v>35</v>
      </c>
      <c r="H8" s="6" t="s">
        <v>36</v>
      </c>
      <c r="I8" s="6" t="s">
        <v>37</v>
      </c>
    </row>
    <row r="9" customFormat="false" ht="21.75" hidden="false" customHeight="true" outlineLevel="0" collapsed="false">
      <c r="A9" s="5" t="s">
        <v>38</v>
      </c>
      <c r="B9" s="5" t="s">
        <v>39</v>
      </c>
      <c r="C9" s="5" t="s">
        <v>13</v>
      </c>
      <c r="D9" s="5" t="s">
        <v>40</v>
      </c>
      <c r="E9" s="5" t="s">
        <v>21</v>
      </c>
      <c r="F9" s="5" t="s">
        <v>41</v>
      </c>
      <c r="G9" s="5" t="s">
        <v>42</v>
      </c>
      <c r="H9" s="5" t="s">
        <v>43</v>
      </c>
      <c r="I9" s="5" t="s">
        <v>44</v>
      </c>
    </row>
    <row r="10" customFormat="false" ht="21.75" hidden="false" customHeight="true" outlineLevel="0" collapsed="false">
      <c r="A10" s="6" t="s">
        <v>45</v>
      </c>
      <c r="B10" s="6" t="s">
        <v>46</v>
      </c>
      <c r="C10" s="6" t="s">
        <v>20</v>
      </c>
      <c r="D10" s="6" t="s">
        <v>47</v>
      </c>
      <c r="E10" s="6" t="s">
        <v>15</v>
      </c>
      <c r="F10" s="6" t="s">
        <v>48</v>
      </c>
      <c r="G10" s="6" t="s">
        <v>49</v>
      </c>
      <c r="H10" s="6" t="s">
        <v>50</v>
      </c>
      <c r="I10" s="6" t="s">
        <v>51</v>
      </c>
    </row>
    <row r="11" customFormat="false" ht="21.75" hidden="false" customHeight="true" outlineLevel="0" collapsed="false">
      <c r="A11" s="5" t="s">
        <v>52</v>
      </c>
      <c r="B11" s="5" t="s">
        <v>46</v>
      </c>
      <c r="C11" s="5" t="s">
        <v>53</v>
      </c>
      <c r="D11" s="5" t="s">
        <v>54</v>
      </c>
      <c r="E11" s="5" t="s">
        <v>15</v>
      </c>
      <c r="F11" s="5" t="s">
        <v>55</v>
      </c>
      <c r="G11" s="5" t="s">
        <v>56</v>
      </c>
      <c r="H11" s="5" t="s">
        <v>57</v>
      </c>
      <c r="I11" s="5"/>
    </row>
    <row r="12" customFormat="false" ht="21.75" hidden="false" customHeight="true" outlineLevel="0" collapsed="false">
      <c r="A12" s="6" t="s">
        <v>58</v>
      </c>
      <c r="B12" s="6" t="s">
        <v>59</v>
      </c>
      <c r="C12" s="6" t="s">
        <v>13</v>
      </c>
      <c r="D12" s="6" t="s">
        <v>60</v>
      </c>
      <c r="E12" s="6"/>
      <c r="F12" s="6" t="s">
        <v>61</v>
      </c>
      <c r="G12" s="6" t="s">
        <v>62</v>
      </c>
      <c r="H12" s="6" t="s">
        <v>63</v>
      </c>
      <c r="I12" s="6" t="s">
        <v>64</v>
      </c>
    </row>
  </sheetData>
  <autoFilter ref="A4:I200"/>
  <mergeCells count="2">
    <mergeCell ref="A1:I1"/>
    <mergeCell ref="A2:I2"/>
  </mergeCells>
  <conditionalFormatting sqref="E5:E200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dataValidations count="3">
    <dataValidation allowBlank="true" error="Use the dropdown to select a classification." errorStyle="stop" errorTitle="Invalid entry" operator="between" showDropDown="false" showErrorMessage="true" showInputMessage="false" sqref="B5:B200" type="list">
      <formula1>"Active Delivery,Pre-Construction,Prospect: Tier 1,Prospect: Tier 2,On Hold"</formula1>
      <formula2>0</formula2>
    </dataValidation>
    <dataValidation allowBlank="true" errorStyle="stop" operator="between" showDropDown="false" showErrorMessage="false" showInputMessage="false" sqref="C5:C200" type="list">
      <formula1>"Bernie,Shaq,Maya"</formula1>
      <formula2>0</formula2>
    </dataValidation>
    <dataValidation allowBlank="true" errorStyle="stop" operator="between" showDropDown="false" showErrorMessage="false" showInputMessage="false" sqref="E5:E200" type="list">
      <formula1>"Green,Amber,Red,"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</cols>
  <sheetData>
    <row r="1" customFormat="false" ht="33.75" hidden="false" customHeight="true" outlineLevel="0" collapsed="false">
      <c r="A1" s="7" t="s">
        <v>65</v>
      </c>
      <c r="B1" s="7"/>
    </row>
    <row r="2" customFormat="false" ht="7.5" hidden="false" customHeight="true" outlineLevel="0" collapsed="false"/>
    <row r="3" customFormat="false" ht="21.75" hidden="false" customHeight="true" outlineLevel="0" collapsed="false">
      <c r="A3" s="8" t="s">
        <v>66</v>
      </c>
      <c r="B3" s="8"/>
    </row>
    <row r="4" customFormat="false" ht="39.75" hidden="false" customHeight="true" outlineLevel="0" collapsed="false">
      <c r="A4" s="9" t="s">
        <v>67</v>
      </c>
      <c r="B4" s="10" t="s">
        <v>68</v>
      </c>
    </row>
    <row r="5" customFormat="false" ht="39.75" hidden="false" customHeight="true" outlineLevel="0" collapsed="false">
      <c r="A5" s="9" t="s">
        <v>69</v>
      </c>
      <c r="B5" s="10" t="s">
        <v>70</v>
      </c>
    </row>
    <row r="6" customFormat="false" ht="39.75" hidden="false" customHeight="true" outlineLevel="0" collapsed="false">
      <c r="A6" s="9" t="s">
        <v>71</v>
      </c>
      <c r="B6" s="10" t="s">
        <v>72</v>
      </c>
    </row>
    <row r="7" customFormat="false" ht="7.5" hidden="false" customHeight="true" outlineLevel="0" collapsed="false"/>
    <row r="8" customFormat="false" ht="21.75" hidden="false" customHeight="true" outlineLevel="0" collapsed="false">
      <c r="A8" s="8" t="s">
        <v>73</v>
      </c>
      <c r="B8" s="8"/>
    </row>
    <row r="9" customFormat="false" ht="39.75" hidden="false" customHeight="true" outlineLevel="0" collapsed="false">
      <c r="A9" s="9" t="s">
        <v>74</v>
      </c>
      <c r="B9" s="10" t="s">
        <v>75</v>
      </c>
    </row>
    <row r="10" customFormat="false" ht="39.75" hidden="false" customHeight="true" outlineLevel="0" collapsed="false">
      <c r="A10" s="9" t="s">
        <v>76</v>
      </c>
      <c r="B10" s="10" t="s">
        <v>77</v>
      </c>
    </row>
    <row r="11" customFormat="false" ht="39.75" hidden="false" customHeight="true" outlineLevel="0" collapsed="false">
      <c r="A11" s="9" t="s">
        <v>78</v>
      </c>
      <c r="B11" s="10" t="s">
        <v>79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8" t="s">
        <v>80</v>
      </c>
      <c r="B13" s="8"/>
    </row>
    <row r="14" customFormat="false" ht="39.75" hidden="false" customHeight="true" outlineLevel="0" collapsed="false">
      <c r="A14" s="9" t="s">
        <v>12</v>
      </c>
      <c r="B14" s="10" t="s">
        <v>81</v>
      </c>
    </row>
    <row r="15" customFormat="false" ht="39.75" hidden="false" customHeight="true" outlineLevel="0" collapsed="false">
      <c r="A15" s="9" t="s">
        <v>27</v>
      </c>
      <c r="B15" s="10" t="s">
        <v>82</v>
      </c>
    </row>
    <row r="16" customFormat="false" ht="39.75" hidden="false" customHeight="true" outlineLevel="0" collapsed="false">
      <c r="A16" s="9" t="s">
        <v>39</v>
      </c>
      <c r="B16" s="10" t="s">
        <v>83</v>
      </c>
    </row>
    <row r="17" customFormat="false" ht="39.75" hidden="false" customHeight="true" outlineLevel="0" collapsed="false">
      <c r="A17" s="9" t="s">
        <v>46</v>
      </c>
      <c r="B17" s="10" t="s">
        <v>84</v>
      </c>
    </row>
    <row r="18" customFormat="false" ht="39.75" hidden="false" customHeight="true" outlineLevel="0" collapsed="false">
      <c r="A18" s="9" t="s">
        <v>59</v>
      </c>
      <c r="B18" s="10" t="s">
        <v>85</v>
      </c>
    </row>
    <row r="19" customFormat="false" ht="7.5" hidden="false" customHeight="true" outlineLevel="0" collapsed="false"/>
    <row r="20" customFormat="false" ht="21.75" hidden="false" customHeight="true" outlineLevel="0" collapsed="false">
      <c r="A20" s="8" t="s">
        <v>86</v>
      </c>
      <c r="B20" s="8"/>
    </row>
    <row r="21" customFormat="false" ht="39.75" hidden="false" customHeight="true" outlineLevel="0" collapsed="false">
      <c r="A21" s="9" t="s">
        <v>15</v>
      </c>
      <c r="B21" s="10" t="s">
        <v>87</v>
      </c>
    </row>
    <row r="22" customFormat="false" ht="39.75" hidden="false" customHeight="true" outlineLevel="0" collapsed="false">
      <c r="A22" s="9" t="s">
        <v>21</v>
      </c>
      <c r="B22" s="10" t="s">
        <v>88</v>
      </c>
    </row>
    <row r="23" customFormat="false" ht="39.75" hidden="false" customHeight="true" outlineLevel="0" collapsed="false">
      <c r="A23" s="9" t="s">
        <v>89</v>
      </c>
      <c r="B23" s="10" t="s">
        <v>90</v>
      </c>
    </row>
    <row r="24" customFormat="false" ht="7.5" hidden="false" customHeight="true" outlineLevel="0" collapsed="false"/>
    <row r="25" customFormat="false" ht="21.75" hidden="false" customHeight="true" outlineLevel="0" collapsed="false">
      <c r="A25" s="8" t="s">
        <v>91</v>
      </c>
      <c r="B25" s="8"/>
    </row>
    <row r="26" customFormat="false" ht="39.75" hidden="false" customHeight="true" outlineLevel="0" collapsed="false">
      <c r="A26" s="9" t="s">
        <v>92</v>
      </c>
      <c r="B26" s="10" t="s">
        <v>93</v>
      </c>
    </row>
    <row r="27" customFormat="false" ht="39.75" hidden="false" customHeight="true" outlineLevel="0" collapsed="false">
      <c r="A27" s="9" t="s">
        <v>94</v>
      </c>
      <c r="B27" s="10" t="s">
        <v>95</v>
      </c>
    </row>
  </sheetData>
  <mergeCells count="6">
    <mergeCell ref="A1:B1"/>
    <mergeCell ref="A3:B3"/>
    <mergeCell ref="A8:B8"/>
    <mergeCell ref="A13:B13"/>
    <mergeCell ref="A20:B20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11" t="s">
        <v>96</v>
      </c>
      <c r="B1" s="11"/>
      <c r="C1" s="11"/>
      <c r="D1" s="11"/>
      <c r="E1" s="11"/>
      <c r="F1" s="11"/>
      <c r="G1" s="11"/>
      <c r="H1" s="11"/>
    </row>
    <row r="2" customFormat="false" ht="15.75" hidden="false" customHeight="true" outlineLevel="0" collapsed="false">
      <c r="A2" s="12" t="s">
        <v>97</v>
      </c>
      <c r="B2" s="12"/>
      <c r="C2" s="12"/>
      <c r="D2" s="12"/>
      <c r="E2" s="12"/>
      <c r="F2" s="12"/>
      <c r="G2" s="12"/>
      <c r="H2" s="12"/>
    </row>
    <row r="3" customFormat="false" ht="9.75" hidden="false" customHeight="true" outlineLevel="0" collapsed="false"/>
    <row r="4" customFormat="false" ht="25.5" hidden="false" customHeight="true" outlineLevel="0" collapsed="false">
      <c r="A4" s="13" t="s">
        <v>98</v>
      </c>
      <c r="B4" s="13"/>
      <c r="C4" s="13"/>
      <c r="D4" s="13"/>
      <c r="E4" s="13"/>
      <c r="F4" s="13"/>
      <c r="G4" s="13"/>
      <c r="H4" s="13"/>
    </row>
    <row r="5" customFormat="false" ht="31.5" hidden="false" customHeight="true" outlineLevel="0" collapsed="false">
      <c r="A5" s="14" t="s">
        <v>99</v>
      </c>
      <c r="B5" s="14" t="s">
        <v>100</v>
      </c>
      <c r="C5" s="14" t="s">
        <v>3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</row>
    <row r="6" customFormat="false" ht="69.75" hidden="false" customHeight="true" outlineLevel="0" collapsed="false">
      <c r="A6" s="5" t="s">
        <v>11</v>
      </c>
      <c r="B6" s="15" t="n">
        <f aca="true">TODAY()-WEEKDAY(TODAY(),2)+1</f>
        <v>46181</v>
      </c>
      <c r="C6" s="5" t="s">
        <v>12</v>
      </c>
      <c r="D6" s="5" t="s">
        <v>106</v>
      </c>
      <c r="E6" s="5" t="s">
        <v>107</v>
      </c>
      <c r="F6" s="5" t="s">
        <v>108</v>
      </c>
      <c r="G6" s="5" t="s">
        <v>109</v>
      </c>
      <c r="H6" s="5" t="s">
        <v>110</v>
      </c>
    </row>
    <row r="7" customFormat="false" ht="69.75" hidden="false" customHeight="true" outlineLevel="0" collapsed="false">
      <c r="A7" s="6" t="s">
        <v>38</v>
      </c>
      <c r="B7" s="16" t="n">
        <f aca="true">TODAY()-WEEKDAY(TODAY(),2)+1</f>
        <v>46181</v>
      </c>
      <c r="C7" s="6" t="s">
        <v>39</v>
      </c>
      <c r="D7" s="6" t="s">
        <v>111</v>
      </c>
      <c r="E7" s="6" t="s">
        <v>112</v>
      </c>
      <c r="F7" s="6" t="s">
        <v>113</v>
      </c>
      <c r="G7" s="6" t="s">
        <v>114</v>
      </c>
      <c r="H7" s="6" t="s">
        <v>115</v>
      </c>
    </row>
    <row r="8" customFormat="false" ht="69.7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69.7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69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69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3.5" hidden="false" customHeight="true" outlineLevel="0" collapsed="false"/>
    <row r="13" customFormat="false" ht="25.5" hidden="false" customHeight="true" outlineLevel="0" collapsed="false">
      <c r="A13" s="13" t="s">
        <v>116</v>
      </c>
      <c r="B13" s="13"/>
      <c r="C13" s="13"/>
      <c r="D13" s="13"/>
      <c r="E13" s="13"/>
      <c r="F13" s="13"/>
      <c r="G13" s="13"/>
      <c r="H13" s="13"/>
    </row>
    <row r="14" customFormat="false" ht="31.5" hidden="false" customHeight="true" outlineLevel="0" collapsed="false">
      <c r="A14" s="14" t="s">
        <v>99</v>
      </c>
      <c r="B14" s="14" t="s">
        <v>117</v>
      </c>
      <c r="C14" s="14" t="s">
        <v>118</v>
      </c>
      <c r="D14" s="14" t="s">
        <v>119</v>
      </c>
      <c r="E14" s="14" t="s">
        <v>120</v>
      </c>
      <c r="F14" s="14" t="s">
        <v>121</v>
      </c>
      <c r="G14" s="14" t="s">
        <v>122</v>
      </c>
      <c r="H14" s="14" t="s">
        <v>10</v>
      </c>
    </row>
    <row r="15" customFormat="false" ht="27.75" hidden="false" customHeight="true" outlineLevel="0" collapsed="false">
      <c r="A15" s="5" t="s">
        <v>11</v>
      </c>
      <c r="B15" s="15" t="n">
        <f aca="true">TODAY()</f>
        <v>46181</v>
      </c>
      <c r="C15" s="5" t="s">
        <v>123</v>
      </c>
      <c r="D15" s="5" t="s">
        <v>124</v>
      </c>
      <c r="E15" s="5" t="s">
        <v>125</v>
      </c>
      <c r="F15" s="5" t="s">
        <v>53</v>
      </c>
      <c r="G15" s="5" t="s">
        <v>126</v>
      </c>
      <c r="H15" s="5"/>
    </row>
    <row r="16" customFormat="false" ht="27.75" hidden="false" customHeight="true" outlineLevel="0" collapsed="false">
      <c r="A16" s="6" t="s">
        <v>38</v>
      </c>
      <c r="B16" s="16" t="n">
        <f aca="true">TODAY()</f>
        <v>46181</v>
      </c>
      <c r="C16" s="6" t="s">
        <v>127</v>
      </c>
      <c r="D16" s="6" t="s">
        <v>128</v>
      </c>
      <c r="E16" s="6" t="s">
        <v>129</v>
      </c>
      <c r="F16" s="6" t="s">
        <v>53</v>
      </c>
      <c r="G16" s="6" t="s">
        <v>126</v>
      </c>
      <c r="H16" s="6" t="s">
        <v>130</v>
      </c>
    </row>
    <row r="17" customFormat="false" ht="27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27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27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27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27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7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27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27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27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27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27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27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27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27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27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27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27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7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</row>
  </sheetData>
  <autoFilter ref="A15:H500"/>
  <mergeCells count="4">
    <mergeCell ref="A1:H1"/>
    <mergeCell ref="A2:H2"/>
    <mergeCell ref="A4:H4"/>
    <mergeCell ref="A13:H13"/>
  </mergeCells>
  <dataValidations count="2">
    <dataValidation allowBlank="true" errorStyle="stop" operator="between" showDropDown="false" showErrorMessage="false" showInputMessage="false" sqref="C6:C11" type="list">
      <formula1>"Active Delivery,Pre-Construction,Prospect: Tier 1,Prospect: Tier 2,On Hold"</formula1>
      <formula2>0</formula2>
    </dataValidation>
    <dataValidation allowBlank="true" errorStyle="stop" operator="between" showDropDown="false" showErrorMessage="false" showInputMessage="false" sqref="G15:G50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17" t="s">
        <v>131</v>
      </c>
      <c r="B1" s="17"/>
      <c r="C1" s="17"/>
      <c r="D1" s="17"/>
      <c r="E1" s="17"/>
      <c r="F1" s="17"/>
      <c r="G1" s="17"/>
      <c r="H1" s="17"/>
    </row>
    <row r="2" customFormat="false" ht="15.75" hidden="false" customHeight="true" outlineLevel="0" collapsed="false">
      <c r="A2" s="12" t="s">
        <v>97</v>
      </c>
      <c r="B2" s="12"/>
      <c r="C2" s="12"/>
      <c r="D2" s="12"/>
      <c r="E2" s="12"/>
      <c r="F2" s="12"/>
      <c r="G2" s="12"/>
      <c r="H2" s="12"/>
    </row>
    <row r="3" customFormat="false" ht="9.75" hidden="false" customHeight="true" outlineLevel="0" collapsed="false"/>
    <row r="4" customFormat="false" ht="25.5" hidden="false" customHeight="true" outlineLevel="0" collapsed="false">
      <c r="A4" s="18" t="s">
        <v>98</v>
      </c>
      <c r="B4" s="18"/>
      <c r="C4" s="18"/>
      <c r="D4" s="18"/>
      <c r="E4" s="18"/>
      <c r="F4" s="18"/>
      <c r="G4" s="18"/>
      <c r="H4" s="18"/>
    </row>
    <row r="5" customFormat="false" ht="31.5" hidden="false" customHeight="true" outlineLevel="0" collapsed="false">
      <c r="A5" s="14" t="s">
        <v>99</v>
      </c>
      <c r="B5" s="14" t="s">
        <v>100</v>
      </c>
      <c r="C5" s="14" t="s">
        <v>3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</row>
    <row r="6" customFormat="false" ht="69.75" hidden="false" customHeight="true" outlineLevel="0" collapsed="false">
      <c r="A6" s="5" t="s">
        <v>19</v>
      </c>
      <c r="B6" s="15" t="n">
        <f aca="true">TODAY()-WEEKDAY(TODAY(),2)+1</f>
        <v>46181</v>
      </c>
      <c r="C6" s="5" t="s">
        <v>12</v>
      </c>
      <c r="D6" s="5" t="s">
        <v>132</v>
      </c>
      <c r="E6" s="5" t="s">
        <v>133</v>
      </c>
      <c r="F6" s="5" t="s">
        <v>134</v>
      </c>
      <c r="G6" s="5" t="s">
        <v>135</v>
      </c>
      <c r="H6" s="5" t="s">
        <v>136</v>
      </c>
    </row>
    <row r="7" customFormat="false" ht="69.75" hidden="false" customHeight="true" outlineLevel="0" collapsed="false">
      <c r="A7" s="6" t="s">
        <v>45</v>
      </c>
      <c r="B7" s="16" t="n">
        <f aca="true">TODAY()-WEEKDAY(TODAY(),2)+1</f>
        <v>46181</v>
      </c>
      <c r="C7" s="6" t="s">
        <v>46</v>
      </c>
      <c r="D7" s="6" t="s">
        <v>137</v>
      </c>
      <c r="E7" s="6" t="s">
        <v>138</v>
      </c>
      <c r="F7" s="6" t="s">
        <v>139</v>
      </c>
      <c r="G7" s="6" t="s">
        <v>140</v>
      </c>
      <c r="H7" s="6" t="s">
        <v>141</v>
      </c>
    </row>
    <row r="8" customFormat="false" ht="69.7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69.7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69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69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3.5" hidden="false" customHeight="true" outlineLevel="0" collapsed="false"/>
    <row r="13" customFormat="false" ht="25.5" hidden="false" customHeight="true" outlineLevel="0" collapsed="false">
      <c r="A13" s="18" t="s">
        <v>116</v>
      </c>
      <c r="B13" s="18"/>
      <c r="C13" s="18"/>
      <c r="D13" s="18"/>
      <c r="E13" s="18"/>
      <c r="F13" s="18"/>
      <c r="G13" s="18"/>
      <c r="H13" s="18"/>
    </row>
    <row r="14" customFormat="false" ht="31.5" hidden="false" customHeight="true" outlineLevel="0" collapsed="false">
      <c r="A14" s="14" t="s">
        <v>99</v>
      </c>
      <c r="B14" s="14" t="s">
        <v>117</v>
      </c>
      <c r="C14" s="14" t="s">
        <v>118</v>
      </c>
      <c r="D14" s="14" t="s">
        <v>119</v>
      </c>
      <c r="E14" s="14" t="s">
        <v>120</v>
      </c>
      <c r="F14" s="14" t="s">
        <v>121</v>
      </c>
      <c r="G14" s="14" t="s">
        <v>122</v>
      </c>
      <c r="H14" s="14" t="s">
        <v>10</v>
      </c>
    </row>
    <row r="15" customFormat="false" ht="27.75" hidden="false" customHeight="true" outlineLevel="0" collapsed="false">
      <c r="A15" s="5" t="s">
        <v>19</v>
      </c>
      <c r="B15" s="15" t="n">
        <f aca="true">TODAY()</f>
        <v>46181</v>
      </c>
      <c r="C15" s="5" t="s">
        <v>142</v>
      </c>
      <c r="D15" s="5" t="s">
        <v>143</v>
      </c>
      <c r="E15" s="5" t="s">
        <v>144</v>
      </c>
      <c r="F15" s="5" t="s">
        <v>13</v>
      </c>
      <c r="G15" s="5" t="s">
        <v>126</v>
      </c>
      <c r="H15" s="5"/>
    </row>
    <row r="16" customFormat="false" ht="27.75" hidden="false" customHeight="true" outlineLevel="0" collapsed="false">
      <c r="A16" s="6" t="s">
        <v>45</v>
      </c>
      <c r="B16" s="16" t="n">
        <f aca="true">TODAY()</f>
        <v>46181</v>
      </c>
      <c r="C16" s="6" t="s">
        <v>145</v>
      </c>
      <c r="D16" s="6"/>
      <c r="E16" s="6" t="s">
        <v>146</v>
      </c>
      <c r="F16" s="6" t="s">
        <v>13</v>
      </c>
      <c r="G16" s="6" t="s">
        <v>126</v>
      </c>
      <c r="H16" s="6" t="s">
        <v>147</v>
      </c>
    </row>
    <row r="17" customFormat="false" ht="27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27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27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27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27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7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27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27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27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27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27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27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27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27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27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27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27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7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</row>
  </sheetData>
  <autoFilter ref="A15:H500"/>
  <mergeCells count="4">
    <mergeCell ref="A1:H1"/>
    <mergeCell ref="A2:H2"/>
    <mergeCell ref="A4:H4"/>
    <mergeCell ref="A13:H13"/>
  </mergeCells>
  <dataValidations count="2">
    <dataValidation allowBlank="true" errorStyle="stop" operator="between" showDropDown="false" showErrorMessage="false" showInputMessage="false" sqref="C6:C11" type="list">
      <formula1>"Active Delivery,Pre-Construction,Prospect: Tier 1,Prospect: Tier 2,On Hold"</formula1>
      <formula2>0</formula2>
    </dataValidation>
    <dataValidation allowBlank="true" errorStyle="stop" operator="between" showDropDown="false" showErrorMessage="false" showInputMessage="false" sqref="G15:G50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19" t="s">
        <v>148</v>
      </c>
      <c r="B1" s="19"/>
      <c r="C1" s="19"/>
      <c r="D1" s="19"/>
      <c r="E1" s="19"/>
      <c r="F1" s="19"/>
      <c r="G1" s="19"/>
      <c r="H1" s="19"/>
    </row>
    <row r="2" customFormat="false" ht="15.75" hidden="false" customHeight="true" outlineLevel="0" collapsed="false">
      <c r="A2" s="12" t="s">
        <v>97</v>
      </c>
      <c r="B2" s="12"/>
      <c r="C2" s="12"/>
      <c r="D2" s="12"/>
      <c r="E2" s="12"/>
      <c r="F2" s="12"/>
      <c r="G2" s="12"/>
      <c r="H2" s="12"/>
    </row>
    <row r="3" customFormat="false" ht="9.75" hidden="false" customHeight="true" outlineLevel="0" collapsed="false"/>
    <row r="4" customFormat="false" ht="25.5" hidden="false" customHeight="true" outlineLevel="0" collapsed="false">
      <c r="A4" s="20" t="s">
        <v>98</v>
      </c>
      <c r="B4" s="20"/>
      <c r="C4" s="20"/>
      <c r="D4" s="20"/>
      <c r="E4" s="20"/>
      <c r="F4" s="20"/>
      <c r="G4" s="20"/>
      <c r="H4" s="20"/>
    </row>
    <row r="5" customFormat="false" ht="31.5" hidden="false" customHeight="true" outlineLevel="0" collapsed="false">
      <c r="A5" s="14" t="s">
        <v>99</v>
      </c>
      <c r="B5" s="14" t="s">
        <v>100</v>
      </c>
      <c r="C5" s="14" t="s">
        <v>3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</row>
    <row r="6" customFormat="false" ht="69.75" hidden="false" customHeight="true" outlineLevel="0" collapsed="false">
      <c r="A6" s="5" t="s">
        <v>149</v>
      </c>
      <c r="B6" s="15" t="n">
        <f aca="true">TODAY()-WEEKDAY(TODAY(),2)+1</f>
        <v>46181</v>
      </c>
      <c r="C6" s="5" t="s">
        <v>12</v>
      </c>
      <c r="D6" s="5" t="s">
        <v>150</v>
      </c>
      <c r="E6" s="5" t="s">
        <v>151</v>
      </c>
      <c r="F6" s="5" t="s">
        <v>152</v>
      </c>
      <c r="G6" s="5" t="s">
        <v>153</v>
      </c>
      <c r="H6" s="5" t="s">
        <v>154</v>
      </c>
    </row>
    <row r="7" customFormat="false" ht="69.75" hidden="false" customHeight="true" outlineLevel="0" collapsed="false">
      <c r="A7" s="6" t="s">
        <v>38</v>
      </c>
      <c r="B7" s="16" t="n">
        <f aca="true">TODAY()-WEEKDAY(TODAY(),2)+1</f>
        <v>46181</v>
      </c>
      <c r="C7" s="6" t="s">
        <v>39</v>
      </c>
      <c r="D7" s="6" t="s">
        <v>155</v>
      </c>
      <c r="E7" s="6" t="s">
        <v>156</v>
      </c>
      <c r="F7" s="6" t="s">
        <v>157</v>
      </c>
      <c r="G7" s="6" t="s">
        <v>158</v>
      </c>
      <c r="H7" s="6" t="s">
        <v>159</v>
      </c>
    </row>
    <row r="8" customFormat="false" ht="69.7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69.7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69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69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3.5" hidden="false" customHeight="true" outlineLevel="0" collapsed="false"/>
    <row r="13" customFormat="false" ht="25.5" hidden="false" customHeight="true" outlineLevel="0" collapsed="false">
      <c r="A13" s="20" t="s">
        <v>116</v>
      </c>
      <c r="B13" s="20"/>
      <c r="C13" s="20"/>
      <c r="D13" s="20"/>
      <c r="E13" s="20"/>
      <c r="F13" s="20"/>
      <c r="G13" s="20"/>
      <c r="H13" s="20"/>
    </row>
    <row r="14" customFormat="false" ht="31.5" hidden="false" customHeight="true" outlineLevel="0" collapsed="false">
      <c r="A14" s="14" t="s">
        <v>99</v>
      </c>
      <c r="B14" s="14" t="s">
        <v>117</v>
      </c>
      <c r="C14" s="14" t="s">
        <v>118</v>
      </c>
      <c r="D14" s="14" t="s">
        <v>119</v>
      </c>
      <c r="E14" s="14" t="s">
        <v>120</v>
      </c>
      <c r="F14" s="14" t="s">
        <v>121</v>
      </c>
      <c r="G14" s="14" t="s">
        <v>122</v>
      </c>
      <c r="H14" s="14" t="s">
        <v>10</v>
      </c>
    </row>
    <row r="15" customFormat="false" ht="27.75" hidden="false" customHeight="true" outlineLevel="0" collapsed="false">
      <c r="A15" s="5" t="s">
        <v>149</v>
      </c>
      <c r="B15" s="15" t="n">
        <f aca="true">TODAY()</f>
        <v>46181</v>
      </c>
      <c r="C15" s="5" t="s">
        <v>160</v>
      </c>
      <c r="D15" s="5" t="s">
        <v>161</v>
      </c>
      <c r="E15" s="5" t="s">
        <v>162</v>
      </c>
      <c r="F15" s="5" t="s">
        <v>13</v>
      </c>
      <c r="G15" s="5" t="s">
        <v>126</v>
      </c>
      <c r="H15" s="5"/>
    </row>
    <row r="16" customFormat="false" ht="27.75" hidden="false" customHeight="true" outlineLevel="0" collapsed="false">
      <c r="A16" s="6" t="s">
        <v>38</v>
      </c>
      <c r="B16" s="16" t="n">
        <f aca="true">TODAY()</f>
        <v>46181</v>
      </c>
      <c r="C16" s="6" t="s">
        <v>163</v>
      </c>
      <c r="D16" s="6"/>
      <c r="E16" s="6" t="s">
        <v>164</v>
      </c>
      <c r="F16" s="6" t="s">
        <v>13</v>
      </c>
      <c r="G16" s="6" t="s">
        <v>126</v>
      </c>
      <c r="H16" s="6" t="s">
        <v>165</v>
      </c>
    </row>
    <row r="17" customFormat="false" ht="27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27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27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27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27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7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27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27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27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27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27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27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27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27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27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27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27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7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</row>
  </sheetData>
  <autoFilter ref="A15:H500"/>
  <mergeCells count="4">
    <mergeCell ref="A1:H1"/>
    <mergeCell ref="A2:H2"/>
    <mergeCell ref="A4:H4"/>
    <mergeCell ref="A13:H13"/>
  </mergeCells>
  <dataValidations count="2">
    <dataValidation allowBlank="true" errorStyle="stop" operator="between" showDropDown="false" showErrorMessage="false" showInputMessage="false" sqref="C6:C11" type="list">
      <formula1>"Active Delivery,Pre-Construction,Prospect: Tier 1,Prospect: Tier 2,On Hold"</formula1>
      <formula2>0</formula2>
    </dataValidation>
    <dataValidation allowBlank="true" errorStyle="stop" operator="between" showDropDown="false" showErrorMessage="false" showInputMessage="false" sqref="G15:G50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2026-06-08T22:32:59Z</dcterms:created>
  <dc:creator>openpyxl</dc:creator>
  <dc:description/>
  <dc:language>en-US</dc:language>
  <cp:lastModifiedBy/>
  <dcterms:modified xsi:type="dcterms:W3CDTF">2026-06-08T22:37:14Z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